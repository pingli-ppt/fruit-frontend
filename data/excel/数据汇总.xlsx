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上海绿煜蔬菜种植专业合作社" sheetId="1" r:id="rId1"/>
    <sheet name="上海贤伯伯农产品专业合作社" sheetId="2" r:id="rId2"/>
    <sheet name="西湾农业科技发展有限公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079DA26B3529468BA9C4D723BDEB9EB6" descr="贤伯伯-黄瓜"/>
        <xdr:cNvPicPr/>
      </xdr:nvPicPr>
      <xdr:blipFill>
        <a:blip r:embed="rId1"/>
        <a:stretch>
          <a:fillRect/>
        </a:stretch>
      </xdr:blipFill>
      <xdr:spPr>
        <a:xfrm>
          <a:off x="0" y="0"/>
          <a:ext cx="7108825" cy="10058400"/>
        </a:xfrm>
        <a:prstGeom prst="rect">
          <a:avLst/>
        </a:prstGeom>
      </xdr:spPr>
    </xdr:pic>
  </etc:cellImage>
  <etc:cellImage>
    <xdr:pic>
      <xdr:nvPicPr>
        <xdr:cNvPr id="3" name="ID_5CF99F4DADA54FD4B4D6EFE2076C0A02" descr="贤伯伯-青菜"/>
        <xdr:cNvPicPr/>
      </xdr:nvPicPr>
      <xdr:blipFill>
        <a:blip r:embed="rId2"/>
        <a:stretch>
          <a:fillRect/>
        </a:stretch>
      </xdr:blipFill>
      <xdr:spPr>
        <a:xfrm>
          <a:off x="0" y="0"/>
          <a:ext cx="7108825" cy="10058400"/>
        </a:xfrm>
        <a:prstGeom prst="rect">
          <a:avLst/>
        </a:prstGeom>
      </xdr:spPr>
    </xdr:pic>
  </etc:cellImage>
  <etc:cellImage>
    <xdr:pic>
      <xdr:nvPicPr>
        <xdr:cNvPr id="2" name="ID_DCB254DD103147428F28374357CC53BF" descr="贤伯伯-番茄"/>
        <xdr:cNvPicPr/>
      </xdr:nvPicPr>
      <xdr:blipFill>
        <a:blip r:embed="rId3"/>
        <a:stretch>
          <a:fillRect/>
        </a:stretch>
      </xdr:blipFill>
      <xdr:spPr>
        <a:xfrm>
          <a:off x="0" y="0"/>
          <a:ext cx="7108825" cy="1005840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<sst xmlns="http://schemas.openxmlformats.org/spreadsheetml/2006/main" count="152" uniqueCount="81">
  <si>
    <t>填写项目</t>
  </si>
  <si>
    <t>填写内容</t>
  </si>
  <si>
    <t>企业名称</t>
  </si>
  <si>
    <t>上海绿煜蔬菜种植专业合作社</t>
  </si>
  <si>
    <t>负责人姓名</t>
  </si>
  <si>
    <t>殷春煜</t>
  </si>
  <si>
    <t>联系电话</t>
  </si>
  <si>
    <t>成立时间</t>
  </si>
  <si>
    <t>注册资本（万元）</t>
  </si>
  <si>
    <t>员工数量（户）</t>
  </si>
  <si>
    <t>总种植面积（亩）</t>
  </si>
  <si>
    <t>是否示范社</t>
  </si>
  <si>
    <t>国家级</t>
  </si>
  <si>
    <t>荣获资质/曾获荣誉</t>
  </si>
  <si>
    <t>市级示范合作社</t>
  </si>
  <si>
    <t>核心优势品类</t>
  </si>
  <si>
    <t>核心品类</t>
  </si>
  <si>
    <t>核心品类名称</t>
  </si>
  <si>
    <t>核心品类上市期</t>
  </si>
  <si>
    <t>核心品类详细介绍（描述具体优势与强势竞争力之处，如口感、规格等）</t>
  </si>
  <si>
    <t>1.</t>
  </si>
  <si>
    <t>青菜</t>
  </si>
  <si>
    <t>全年</t>
  </si>
  <si>
    <t>基地自己生产，选用目前口感最好的品种，25年在奉贤区青菜评比中3等奖</t>
  </si>
  <si>
    <t>2.</t>
  </si>
  <si>
    <t>生菜</t>
  </si>
  <si>
    <t>1-7月份，9-12月份</t>
  </si>
  <si>
    <t>直立生菜，合作社自己生产</t>
  </si>
  <si>
    <t>3.</t>
  </si>
  <si>
    <t>结球甘蓝</t>
  </si>
  <si>
    <t>1-7月份，10-12月份</t>
  </si>
  <si>
    <t>选择市场上口感最好的品种，兼具品质和产量</t>
  </si>
  <si>
    <t>4.</t>
  </si>
  <si>
    <t>华椰菜</t>
  </si>
  <si>
    <t>5.</t>
  </si>
  <si>
    <t>物流方面</t>
  </si>
  <si>
    <t>物流配送范围</t>
  </si>
  <si>
    <t>配送方式（常温/冷链/其他）</t>
  </si>
  <si>
    <t>配送时长（单位：天）</t>
  </si>
  <si>
    <t>配送合作模式（自有物流/第三方快递/其他）</t>
  </si>
  <si>
    <t>本市配送</t>
  </si>
  <si>
    <t>常温配送</t>
  </si>
  <si>
    <t>当天</t>
  </si>
  <si>
    <t>自幼物流</t>
  </si>
  <si>
    <t>合作社（公司）名称</t>
  </si>
  <si>
    <t>质量体系认证情况</t>
  </si>
  <si>
    <t xml:space="preserve">农资投入台账情况（农药） </t>
  </si>
  <si>
    <t>绿色防控技术应用</t>
  </si>
  <si>
    <t>产品检测方式</t>
  </si>
  <si>
    <t>产品检测次数</t>
  </si>
  <si>
    <t>可提供的合规佐证材料（图片等）</t>
  </si>
  <si>
    <t>绿色食品</t>
  </si>
  <si>
    <t>已建立（完整记录农药、化肥采购-使用-库存）</t>
  </si>
  <si>
    <t>物理防治（粘虫板/杀虫灯等）</t>
  </si>
  <si>
    <t>自行快速检测</t>
  </si>
  <si>
    <t>个别批次轻微超标（已整改）</t>
  </si>
  <si>
    <t>上海贤伯伯农产品专业合作社</t>
  </si>
  <si>
    <t>李旭东</t>
  </si>
  <si>
    <r>
      <rPr>
        <sz val="14"/>
        <color rgb="FF0F1115"/>
        <rFont val="Segoe UI"/>
        <charset val="134"/>
      </rPr>
      <t>100</t>
    </r>
    <r>
      <rPr>
        <sz val="14"/>
        <color rgb="FF0F1115"/>
        <rFont val="宋体"/>
        <charset val="134"/>
      </rPr>
      <t>万</t>
    </r>
  </si>
  <si>
    <t>否</t>
  </si>
  <si>
    <t>番茄</t>
  </si>
  <si>
    <t>4月下旬</t>
  </si>
  <si>
    <t>夏季：7-8月份上市
冬季：12月份上市
春季：3月份上市</t>
  </si>
  <si>
    <t>黄瓜</t>
  </si>
  <si>
    <t>就近农贸市场</t>
  </si>
  <si>
    <t>常温</t>
  </si>
  <si>
    <t>散户/分批次自运</t>
  </si>
  <si>
    <t>已建立（部分记录）</t>
  </si>
  <si>
    <t>多种检测结合</t>
  </si>
  <si>
    <t>全部合格</t>
  </si>
  <si>
    <t>西湾农业科技发展有限公司</t>
  </si>
  <si>
    <t>张见</t>
  </si>
  <si>
    <t>2021年</t>
  </si>
  <si>
    <t>100万</t>
  </si>
  <si>
    <t>256亩</t>
  </si>
  <si>
    <t>市级</t>
  </si>
  <si>
    <t>市番茄金奖</t>
  </si>
  <si>
    <t>7月</t>
  </si>
  <si>
    <t>杭白菜</t>
  </si>
  <si>
    <t>草莓</t>
  </si>
  <si>
    <t>冷藏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</si>
</sst>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color rgb="FF0F1115"/>
      <name val="宋体"/>
      <charset val="134"/>
    </font>
    <font>
      <sz val="14"/>
      <color rgb="FF0F1115"/>
      <name val="Segoe UI"/>
      <charset val="134"/>
    </font>
    <font>
      <sz val="14"/>
      <color rgb="FF000000"/>
      <name val="宋体"/>
      <charset val="134"/>
    </font>
    <font>
      <sz val="11"/>
      <color theme="1"/>
      <name val="黑体"/>
      <charset val="134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4B3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DB6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4" fontId="3" fillId="3" borderId="1" xfId="0" applyNumberFormat="1" applyFont="1" applyFill="1" applyBorder="1" applyAlignment="1">
      <alignment vertical="center" wrapText="1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topLeftCell="A7" workbookViewId="0">
      <selection activeCell="C31" sqref="C31"/>
    </sheetView>
  </sheetViews>
  <sheetFormatPr defaultColWidth="8.88888888888889" defaultRowHeight="17.4"/>
  <cols>
    <col min="1" max="1" width="29.8888888888889" style="1" customWidth="1"/>
    <col min="2" max="2" width="35.3333333333333" style="1" customWidth="1"/>
    <col min="3" max="3" width="26.4444444444444" style="1" customWidth="1"/>
    <col min="4" max="4" width="89.7777777777778" style="1" customWidth="1"/>
    <col min="5" max="5" width="35.5555555555556" style="1" customWidth="1"/>
    <col min="6" max="6" width="14.1111111111111" style="1" customWidth="1"/>
    <col min="7" max="7" width="9.66666666666667" style="1" customWidth="1"/>
    <col min="8" max="9" width="16.4444444444444" style="1" customWidth="1"/>
    <col min="10" max="13" width="14.1111111111111" style="1" customWidth="1"/>
    <col min="14" max="14" width="9.66666666666667" style="1" customWidth="1"/>
    <col min="15" max="16384" width="8.88888888888889" style="1"/>
  </cols>
  <sheetData>
    <row r="1" s="1" customFormat="1" spans="1:14">
      <c r="A1" s="2" t="s">
        <v>0</v>
      </c>
      <c r="B1" s="2" t="s">
        <v>1</v>
      </c>
      <c r="C1" s="3"/>
      <c r="G1" s="3"/>
      <c r="I1" s="3"/>
      <c r="J1" s="3"/>
      <c r="K1" s="3"/>
      <c r="L1" s="3"/>
      <c r="N1" s="3"/>
    </row>
    <row r="2" s="1" customFormat="1" spans="1:2">
      <c r="A2" s="4" t="s">
        <v>2</v>
      </c>
      <c r="B2" s="4" t="s">
        <v>3</v>
      </c>
    </row>
    <row r="3" s="1" customFormat="1" spans="1:2">
      <c r="A3" s="4" t="s">
        <v>4</v>
      </c>
      <c r="B3" s="4" t="s">
        <v>5</v>
      </c>
    </row>
    <row r="4" s="1" customFormat="1" ht="20.4" spans="1:2">
      <c r="A4" s="4" t="s">
        <v>6</v>
      </c>
      <c r="B4" s="5">
        <v>13901832880</v>
      </c>
    </row>
    <row r="5" s="1" customFormat="1" ht="20.4" spans="1:2">
      <c r="A5" s="4" t="s">
        <v>7</v>
      </c>
      <c r="B5" s="19">
        <v>41127</v>
      </c>
    </row>
    <row r="6" s="1" customFormat="1" ht="20.4" spans="1:2">
      <c r="A6" s="4" t="s">
        <v>8</v>
      </c>
      <c r="B6" s="5">
        <v>100</v>
      </c>
    </row>
    <row r="7" s="1" customFormat="1" ht="20.4" spans="1:2">
      <c r="A7" s="4" t="s">
        <v>9</v>
      </c>
      <c r="B7" s="5">
        <v>28</v>
      </c>
    </row>
    <row r="8" s="1" customFormat="1" ht="20.4" spans="1:2">
      <c r="A8" s="4" t="s">
        <v>10</v>
      </c>
      <c r="B8" s="5">
        <v>245</v>
      </c>
    </row>
    <row r="9" s="1" customFormat="1" spans="1:2">
      <c r="A9" s="4" t="s">
        <v>11</v>
      </c>
      <c r="B9" s="4" t="s">
        <v>12</v>
      </c>
    </row>
    <row r="10" s="1" customFormat="1" spans="1:2">
      <c r="A10" s="6" t="s">
        <v>13</v>
      </c>
      <c r="B10" s="6" t="s">
        <v>14</v>
      </c>
    </row>
    <row r="12" s="1" customFormat="1" spans="1:4">
      <c r="A12" s="7" t="s">
        <v>15</v>
      </c>
      <c r="B12" s="8"/>
      <c r="C12" s="8"/>
      <c r="D12" s="9"/>
    </row>
    <row r="13" s="1" customFormat="1" spans="1:4">
      <c r="A13" s="10" t="s">
        <v>16</v>
      </c>
      <c r="B13" s="10" t="s">
        <v>17</v>
      </c>
      <c r="C13" s="10" t="s">
        <v>18</v>
      </c>
      <c r="D13" s="10" t="s">
        <v>19</v>
      </c>
    </row>
    <row r="14" s="1" customFormat="1" spans="1:4">
      <c r="A14" s="11" t="s">
        <v>20</v>
      </c>
      <c r="B14" s="1" t="s">
        <v>21</v>
      </c>
      <c r="C14" s="1" t="s">
        <v>22</v>
      </c>
      <c r="D14" s="1" t="s">
        <v>23</v>
      </c>
    </row>
    <row r="15" s="1" customFormat="1" spans="1:4">
      <c r="A15" s="11" t="s">
        <v>24</v>
      </c>
      <c r="B15" s="1" t="s">
        <v>25</v>
      </c>
      <c r="C15" s="1" t="s">
        <v>26</v>
      </c>
      <c r="D15" s="1" t="s">
        <v>27</v>
      </c>
    </row>
    <row r="16" s="1" customFormat="1" spans="1:4">
      <c r="A16" s="11" t="s">
        <v>28</v>
      </c>
      <c r="B16" s="1" t="s">
        <v>29</v>
      </c>
      <c r="C16" s="1" t="s">
        <v>30</v>
      </c>
      <c r="D16" s="1" t="s">
        <v>31</v>
      </c>
    </row>
    <row r="17" s="1" customFormat="1" spans="1:4">
      <c r="A17" s="11" t="s">
        <v>32</v>
      </c>
      <c r="B17" s="1" t="s">
        <v>33</v>
      </c>
      <c r="C17" s="1" t="s">
        <v>30</v>
      </c>
      <c r="D17" s="1" t="s">
        <v>31</v>
      </c>
    </row>
    <row r="18" s="1" customFormat="1" spans="1:1">
      <c r="A18" s="11" t="s">
        <v>34</v>
      </c>
    </row>
    <row r="20" s="1" customFormat="1" spans="1:4">
      <c r="A20" s="7" t="s">
        <v>35</v>
      </c>
      <c r="B20" s="8"/>
      <c r="C20" s="8"/>
      <c r="D20" s="9"/>
    </row>
    <row r="21" s="1" customFormat="1" spans="1:4">
      <c r="A21" s="10" t="s">
        <v>36</v>
      </c>
      <c r="B21" s="10" t="s">
        <v>37</v>
      </c>
      <c r="C21" s="10" t="s">
        <v>38</v>
      </c>
      <c r="D21" s="10" t="s">
        <v>39</v>
      </c>
    </row>
    <row r="22" s="1" customFormat="1" spans="1:4">
      <c r="A22" s="1" t="s">
        <v>40</v>
      </c>
      <c r="B22" s="1" t="s">
        <v>41</v>
      </c>
      <c r="C22" s="1" t="s">
        <v>42</v>
      </c>
      <c r="D22" s="1" t="s">
        <v>43</v>
      </c>
    </row>
    <row r="26" spans="1:7">
      <c r="A26" s="16" t="s">
        <v>44</v>
      </c>
      <c r="B26" s="17" t="s">
        <v>45</v>
      </c>
      <c r="C26" s="17" t="s">
        <v>46</v>
      </c>
      <c r="D26" s="17" t="s">
        <v>47</v>
      </c>
      <c r="E26" s="17" t="s">
        <v>48</v>
      </c>
      <c r="F26" s="17" t="s">
        <v>49</v>
      </c>
      <c r="G26" s="17" t="s">
        <v>50</v>
      </c>
    </row>
    <row r="27" spans="1:7">
      <c r="A27" s="20" t="s">
        <v>3</v>
      </c>
      <c r="B27" s="18" t="s">
        <v>51</v>
      </c>
      <c r="C27" s="18" t="s">
        <v>52</v>
      </c>
      <c r="D27" s="18" t="s">
        <v>53</v>
      </c>
      <c r="E27" s="18" t="s">
        <v>54</v>
      </c>
      <c r="F27" s="18" t="s">
        <v>55</v>
      </c>
      <c r="G27" s="18"/>
    </row>
  </sheetData>
  <mergeCells count="2">
    <mergeCell ref="A12:D12"/>
    <mergeCell ref="A20:D20"/>
  </mergeCells>
  <dataValidations count="6">
    <dataValidation type="list" allowBlank="1" showInputMessage="1" showErrorMessage="1" sqref="B9">
      <formula1>"国家级,市级,区级,否"</formula1>
    </dataValidation>
    <dataValidation type="list" allowBlank="1" showInputMessage="1" showErrorMessage="1" sqref="B27">
      <formula1>"无,绿色食品,有机产品,地理标志产品,名特优新,多项认证（需在备注栏列明）"</formula1>
    </dataValidation>
    <dataValidation type="list" allowBlank="1" showInputMessage="1" showErrorMessage="1" sqref="C27">
      <formula1>"已建立（完整记录农药、化肥采购-使用-库存）,已建立（部分记录）,未建立"</formula1>
    </dataValidation>
    <dataValidation type="list" allowBlank="1" showInputMessage="1" showErrorMessage="1" sqref="D27">
      <formula1>"无,物理防治（粘虫板/杀虫灯等）,生物防治（生物农药/天敌昆虫/性诱剂）,生态调控,综合防控（多种方式结合）"</formula1>
    </dataValidation>
    <dataValidation type="list" allowBlank="1" showInputMessage="1" showErrorMessage="1" sqref="E27">
      <formula1>"无检测,自行快速检测,委托第三方定量检测,监管部门例行监测,监督部门监督抽查,多种检测结合"</formula1>
    </dataValidation>
    <dataValidation type="list" allowBlank="1" showInputMessage="1" showErrorMessage="1" sqref="F27">
      <formula1>"全部合格,个别批次轻微超标（已整改）,存在超标记录（未整改）,无检测记录"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topLeftCell="A15" workbookViewId="0">
      <selection activeCell="B15" sqref="B15"/>
    </sheetView>
  </sheetViews>
  <sheetFormatPr defaultColWidth="8.88888888888889" defaultRowHeight="17.4"/>
  <cols>
    <col min="1" max="1" width="29.8888888888889" style="1" customWidth="1"/>
    <col min="2" max="2" width="35.3333333333333" style="1" customWidth="1"/>
    <col min="3" max="3" width="26.4444444444444" style="1" customWidth="1"/>
    <col min="4" max="4" width="89.7777777777778" style="1" customWidth="1"/>
    <col min="5" max="5" width="35.5555555555556" style="1" customWidth="1"/>
    <col min="6" max="6" width="14.1111111111111" style="1" customWidth="1"/>
    <col min="7" max="7" width="9.66666666666667" style="1" customWidth="1"/>
    <col min="8" max="9" width="16.4444444444444" style="1" customWidth="1"/>
    <col min="10" max="13" width="14.1111111111111" style="1" customWidth="1"/>
    <col min="14" max="14" width="9.66666666666667" style="1" customWidth="1"/>
    <col min="15" max="16384" width="8.88888888888889" style="1"/>
  </cols>
  <sheetData>
    <row r="1" s="1" customFormat="1" spans="1:14">
      <c r="A1" s="2" t="s">
        <v>0</v>
      </c>
      <c r="B1" s="2" t="s">
        <v>1</v>
      </c>
      <c r="C1" s="3"/>
      <c r="G1" s="3"/>
      <c r="I1" s="3"/>
      <c r="J1" s="3"/>
      <c r="K1" s="3"/>
      <c r="L1" s="3"/>
      <c r="N1" s="3"/>
    </row>
    <row r="2" s="1" customFormat="1" spans="1:2">
      <c r="A2" s="4" t="s">
        <v>2</v>
      </c>
      <c r="B2" s="12" t="s">
        <v>56</v>
      </c>
    </row>
    <row r="3" s="1" customFormat="1" spans="1:2">
      <c r="A3" s="4" t="s">
        <v>4</v>
      </c>
      <c r="B3" s="12" t="s">
        <v>57</v>
      </c>
    </row>
    <row r="4" s="1" customFormat="1" ht="20.4" spans="1:2">
      <c r="A4" s="4" t="s">
        <v>6</v>
      </c>
      <c r="B4" s="13">
        <v>18116363866</v>
      </c>
    </row>
    <row r="5" s="1" customFormat="1" ht="20.4" spans="1:2">
      <c r="A5" s="4" t="s">
        <v>7</v>
      </c>
      <c r="B5" s="14">
        <v>43249</v>
      </c>
    </row>
    <row r="6" s="1" customFormat="1" ht="20.4" spans="1:2">
      <c r="A6" s="4" t="s">
        <v>8</v>
      </c>
      <c r="B6" s="13" t="s">
        <v>58</v>
      </c>
    </row>
    <row r="7" s="1" customFormat="1" ht="20.4" spans="1:2">
      <c r="A7" s="4" t="s">
        <v>9</v>
      </c>
      <c r="B7" s="13">
        <v>12</v>
      </c>
    </row>
    <row r="8" s="1" customFormat="1" ht="20.4" spans="1:2">
      <c r="A8" s="4" t="s">
        <v>10</v>
      </c>
      <c r="B8" s="13">
        <v>245</v>
      </c>
    </row>
    <row r="9" s="1" customFormat="1" spans="1:2">
      <c r="A9" s="4" t="s">
        <v>11</v>
      </c>
      <c r="B9" s="12" t="s">
        <v>59</v>
      </c>
    </row>
    <row r="10" s="1" customFormat="1" spans="1:2">
      <c r="A10" s="6" t="s">
        <v>13</v>
      </c>
      <c r="B10" s="6"/>
    </row>
    <row r="12" s="1" customFormat="1" spans="1:4">
      <c r="A12" s="7" t="s">
        <v>15</v>
      </c>
      <c r="B12" s="8"/>
      <c r="C12" s="8"/>
      <c r="D12" s="9"/>
    </row>
    <row r="13" s="1" customFormat="1" spans="1:4">
      <c r="A13" s="10" t="s">
        <v>16</v>
      </c>
      <c r="B13" s="10" t="s">
        <v>17</v>
      </c>
      <c r="C13" s="10" t="s">
        <v>18</v>
      </c>
      <c r="D13" s="10" t="s">
        <v>19</v>
      </c>
    </row>
    <row r="14" s="1" customFormat="1" ht="409.5" spans="1:4">
      <c r="A14" s="11" t="s">
        <v>20</v>
      </c>
      <c r="B14" s="1" t="s">
        <v>60</v>
      </c>
      <c r="C14" s="1" t="s">
        <v>61</v>
      </c>
      <c r="D14" s="1" t="str">
        <f>_xlfn.DISPIMG("ID_DCB254DD103147428F28374357CC53BF",1)</f>
        <v>=DISPIMG("ID_DCB254DD103147428F28374357CC53BF",1)</v>
      </c>
    </row>
    <row r="15" s="1" customFormat="1" ht="409.5" spans="1:4">
      <c r="A15" s="11" t="s">
        <v>24</v>
      </c>
      <c r="B15" s="1" t="s">
        <v>21</v>
      </c>
      <c r="C15" s="15" t="s">
        <v>62</v>
      </c>
      <c r="D15" s="1" t="str">
        <f>_xlfn.DISPIMG("ID_5CF99F4DADA54FD4B4D6EFE2076C0A02",1)</f>
        <v>=DISPIMG("ID_5CF99F4DADA54FD4B4D6EFE2076C0A02",1)</v>
      </c>
    </row>
    <row r="16" s="1" customFormat="1" ht="409.5" spans="1:4">
      <c r="A16" s="11" t="s">
        <v>28</v>
      </c>
      <c r="B16" s="1" t="s">
        <v>63</v>
      </c>
      <c r="C16" s="1" t="s">
        <v>61</v>
      </c>
      <c r="D16" s="1" t="str">
        <f>_xlfn.DISPIMG("ID_079DA26B3529468BA9C4D723BDEB9EB6",1)</f>
        <v>=DISPIMG("ID_079DA26B3529468BA9C4D723BDEB9EB6",1)</v>
      </c>
    </row>
    <row r="17" s="1" customFormat="1" spans="1:1">
      <c r="A17" s="11"/>
    </row>
    <row r="18" s="1" customFormat="1" spans="1:1">
      <c r="A18" s="11"/>
    </row>
    <row r="20" s="1" customFormat="1" spans="1:4">
      <c r="A20" s="7" t="s">
        <v>35</v>
      </c>
      <c r="B20" s="8"/>
      <c r="C20" s="8"/>
      <c r="D20" s="9"/>
    </row>
    <row r="21" s="1" customFormat="1" spans="1:4">
      <c r="A21" s="10" t="s">
        <v>36</v>
      </c>
      <c r="B21" s="10" t="s">
        <v>37</v>
      </c>
      <c r="C21" s="10" t="s">
        <v>38</v>
      </c>
      <c r="D21" s="10" t="s">
        <v>39</v>
      </c>
    </row>
    <row r="22" s="1" customFormat="1" spans="1:4">
      <c r="A22" s="1" t="s">
        <v>64</v>
      </c>
      <c r="B22" s="1" t="s">
        <v>65</v>
      </c>
      <c r="D22" s="1" t="s">
        <v>66</v>
      </c>
    </row>
    <row r="25" spans="1:7">
      <c r="A25" s="16" t="s">
        <v>44</v>
      </c>
      <c r="B25" s="17" t="s">
        <v>45</v>
      </c>
      <c r="C25" s="17" t="s">
        <v>46</v>
      </c>
      <c r="D25" s="17" t="s">
        <v>47</v>
      </c>
      <c r="E25" s="17" t="s">
        <v>48</v>
      </c>
      <c r="F25" s="17" t="s">
        <v>49</v>
      </c>
      <c r="G25" s="17" t="s">
        <v>50</v>
      </c>
    </row>
    <row r="26" spans="1:7">
      <c r="A26" s="18" t="s">
        <v>56</v>
      </c>
      <c r="B26" s="18" t="s">
        <v>51</v>
      </c>
      <c r="C26" s="18" t="s">
        <v>67</v>
      </c>
      <c r="D26" s="18" t="s">
        <v>53</v>
      </c>
      <c r="E26" s="18" t="s">
        <v>68</v>
      </c>
      <c r="F26" s="18" t="s">
        <v>69</v>
      </c>
      <c r="G26" s="18"/>
    </row>
  </sheetData>
  <mergeCells count="2">
    <mergeCell ref="A12:D12"/>
    <mergeCell ref="A20:D20"/>
  </mergeCells>
  <dataValidations count="6">
    <dataValidation type="list" allowBlank="1" showInputMessage="1" showErrorMessage="1" sqref="B9">
      <formula1>"国家级,市级,区级,否"</formula1>
    </dataValidation>
    <dataValidation type="list" allowBlank="1" showInputMessage="1" showErrorMessage="1" sqref="B26">
      <formula1>"无,绿色食品,有机产品,地理标志产品,名特优新,多项认证（需在备注栏列明）"</formula1>
    </dataValidation>
    <dataValidation type="list" allowBlank="1" showInputMessage="1" showErrorMessage="1" sqref="C26">
      <formula1>"已建立（完整记录农药、化肥采购-使用-库存）,已建立（部分记录）,未建立"</formula1>
    </dataValidation>
    <dataValidation type="list" allowBlank="1" showInputMessage="1" showErrorMessage="1" sqref="D26">
      <formula1>"无,物理防治（粘虫板/杀虫灯等）,生物防治（生物农药/天敌昆虫/性诱剂）,生态调控,综合防控（多种方式结合）"</formula1>
    </dataValidation>
    <dataValidation type="list" allowBlank="1" showInputMessage="1" showErrorMessage="1" sqref="E26">
      <formula1>"无检测,自行快速检测,委托第三方定量检测,监管部门例行监测,监督部门监督抽查,多种检测结合"</formula1>
    </dataValidation>
    <dataValidation type="list" allowBlank="1" showInputMessage="1" showErrorMessage="1" sqref="F26">
      <formula1>"全部合格,个别批次轻微超标（已整改）,存在超标记录（未整改）,无检测记录"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A20" sqref="A20:D20"/>
    </sheetView>
  </sheetViews>
  <sheetFormatPr defaultColWidth="9.65740740740741" defaultRowHeight="17.4"/>
  <cols>
    <col min="1" max="1" width="32.4722222222222" style="1" customWidth="1"/>
    <col min="2" max="2" width="38.3888888888889" style="1" customWidth="1"/>
    <col min="3" max="3" width="28.7222222222222" style="1" customWidth="1"/>
    <col min="4" max="4" width="97.537037037037" style="1" customWidth="1"/>
    <col min="5" max="5" width="38.6296296296296" style="1" customWidth="1"/>
    <col min="6" max="6" width="15.3240740740741" style="1" customWidth="1"/>
    <col min="7" max="7" width="10.5" style="1" customWidth="1"/>
    <col min="8" max="9" width="17.8611111111111" style="1" customWidth="1"/>
    <col min="10" max="13" width="15.3240740740741" style="1" customWidth="1"/>
    <col min="14" max="14" width="10.5" style="1" customWidth="1"/>
    <col min="15" max="16384" width="9.65740740740741" style="1"/>
  </cols>
  <sheetData>
    <row r="1" s="1" customFormat="1" spans="1:14">
      <c r="A1" s="2" t="s">
        <v>0</v>
      </c>
      <c r="B1" s="2" t="s">
        <v>1</v>
      </c>
      <c r="C1" s="3"/>
      <c r="G1" s="3"/>
      <c r="I1" s="3"/>
      <c r="J1" s="3"/>
      <c r="K1" s="3"/>
      <c r="L1" s="3"/>
      <c r="N1" s="3"/>
    </row>
    <row r="2" s="1" customFormat="1" spans="1:2">
      <c r="A2" s="4" t="s">
        <v>2</v>
      </c>
      <c r="B2" s="5" t="s">
        <v>70</v>
      </c>
    </row>
    <row r="3" s="1" customFormat="1" spans="1:2">
      <c r="A3" s="4" t="s">
        <v>4</v>
      </c>
      <c r="B3" s="5" t="s">
        <v>71</v>
      </c>
    </row>
    <row r="4" s="1" customFormat="1" ht="20.4" spans="1:2">
      <c r="A4" s="4" t="s">
        <v>6</v>
      </c>
      <c r="B4" s="5">
        <v>13849322980</v>
      </c>
    </row>
    <row r="5" s="1" customFormat="1" ht="20.4" spans="1:2">
      <c r="A5" s="4" t="s">
        <v>7</v>
      </c>
      <c r="B5" s="5" t="s">
        <v>72</v>
      </c>
    </row>
    <row r="6" s="1" customFormat="1" ht="20.4" spans="1:2">
      <c r="A6" s="4" t="s">
        <v>8</v>
      </c>
      <c r="B6" s="5" t="s">
        <v>73</v>
      </c>
    </row>
    <row r="7" s="1" customFormat="1" ht="20.4" spans="1:2">
      <c r="A7" s="4" t="s">
        <v>9</v>
      </c>
      <c r="B7" s="5">
        <v>32</v>
      </c>
    </row>
    <row r="8" s="1" customFormat="1" ht="20.4" spans="1:2">
      <c r="A8" s="4" t="s">
        <v>10</v>
      </c>
      <c r="B8" s="5" t="s">
        <v>74</v>
      </c>
    </row>
    <row r="9" s="1" customFormat="1" spans="1:2">
      <c r="A9" s="4" t="s">
        <v>11</v>
      </c>
      <c r="B9" s="4" t="s">
        <v>75</v>
      </c>
    </row>
    <row r="10" s="1" customFormat="1" spans="1:2">
      <c r="A10" s="6" t="s">
        <v>13</v>
      </c>
      <c r="B10" s="6" t="s">
        <v>76</v>
      </c>
    </row>
    <row r="12" s="1" customFormat="1" spans="1:4">
      <c r="A12" s="7" t="s">
        <v>15</v>
      </c>
      <c r="B12" s="8"/>
      <c r="C12" s="8"/>
      <c r="D12" s="9"/>
    </row>
    <row r="13" s="1" customFormat="1" spans="1:4">
      <c r="A13" s="10" t="s">
        <v>16</v>
      </c>
      <c r="B13" s="10" t="s">
        <v>17</v>
      </c>
      <c r="C13" s="10" t="s">
        <v>18</v>
      </c>
      <c r="D13" s="10" t="s">
        <v>19</v>
      </c>
    </row>
    <row r="14" s="1" customFormat="1" spans="1:3">
      <c r="A14" s="11" t="s">
        <v>20</v>
      </c>
      <c r="B14" s="1" t="s">
        <v>60</v>
      </c>
      <c r="C14" s="1" t="s">
        <v>77</v>
      </c>
    </row>
    <row r="15" s="1" customFormat="1" spans="1:3">
      <c r="A15" s="11" t="s">
        <v>24</v>
      </c>
      <c r="B15" s="1" t="s">
        <v>63</v>
      </c>
      <c r="C15" s="1" t="s">
        <v>22</v>
      </c>
    </row>
    <row r="16" s="1" customFormat="1" spans="1:3">
      <c r="A16" s="11" t="s">
        <v>28</v>
      </c>
      <c r="B16" s="1" t="s">
        <v>21</v>
      </c>
      <c r="C16" s="1" t="s">
        <v>22</v>
      </c>
    </row>
    <row r="17" s="1" customFormat="1" spans="1:3">
      <c r="A17" s="11" t="s">
        <v>32</v>
      </c>
      <c r="B17" s="1" t="s">
        <v>78</v>
      </c>
      <c r="C17" s="1" t="s">
        <v>22</v>
      </c>
    </row>
    <row r="18" s="1" customFormat="1" spans="1:2">
      <c r="A18" s="11" t="s">
        <v>34</v>
      </c>
      <c r="B18" s="1" t="s">
        <v>79</v>
      </c>
    </row>
    <row r="20" s="1" customFormat="1" spans="1:4">
      <c r="A20" s="7" t="s">
        <v>35</v>
      </c>
      <c r="B20" s="8"/>
      <c r="C20" s="8"/>
      <c r="D20" s="9"/>
    </row>
    <row r="21" s="1" customFormat="1" spans="1:4">
      <c r="A21" s="10" t="s">
        <v>36</v>
      </c>
      <c r="B21" s="10" t="s">
        <v>37</v>
      </c>
      <c r="C21" s="10" t="s">
        <v>38</v>
      </c>
      <c r="D21" s="10" t="s">
        <v>39</v>
      </c>
    </row>
    <row r="22" s="1" customFormat="1" spans="2:2">
      <c r="B22" s="1" t="s">
        <v>80</v>
      </c>
    </row>
  </sheetData>
  <mergeCells count="2">
    <mergeCell ref="A12:D12"/>
    <mergeCell ref="A20:D20"/>
  </mergeCells>
  <dataValidations count="1">
    <dataValidation type="list" allowBlank="1" showInputMessage="1" showErrorMessage="1" sqref="B9">
      <formula1>"国家级,市级,区级,否"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上海绿煜蔬菜种植专业合作社</vt:lpstr>
      <vt:lpstr>上海贤伯伯农产品专业合作社</vt:lpstr>
      <vt:lpstr>西湾农业科技发展有限公司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YangXinNanexcellent</dc:creator>
  <cp:lastModifiedBy>杨馨楠</cp:lastModifiedBy>
  <dcterms:created xsi:type="dcterms:W3CDTF">2026-01-26T11:32:28Z</dcterms:created>
  <dcterms:modified xsi:type="dcterms:W3CDTF">2026-01-26T11:39:43Z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B68B42B5802542E3BA244DB39AA1BB3B_11</vt:lpwstr>
  </property>
  <property fmtid="{D5CDD505-2E9C-101B-9397-08002B2CF9AE}" pid="3" name="KSOProductBuildVer">
    <vt:lpwstr>2052-12.1.0.19770</vt:lpwstr>
  </property>
</Properties>
</file>