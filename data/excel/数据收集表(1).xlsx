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/>
  </bookViews>
  <sheets>
    <sheet name="基础经营信息" sheetId="4" r:id="rId1"/>
    <sheet name="质量合规" sheetId="2" r:id="rId2"/>
    <sheet name="财务数据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<sst xmlns="http://schemas.openxmlformats.org/spreadsheetml/2006/main" count="129" uniqueCount="122">
  <si>
    <t>填写项目</t>
  </si>
  <si>
    <t>填写内容</t>
  </si>
  <si>
    <t>企业名称</t>
  </si>
  <si>
    <t>上海根根农产品产销专业合作社</t>
  </si>
  <si>
    <t>负责人姓名</t>
  </si>
  <si>
    <t>联系电话</t>
  </si>
  <si>
    <t>成立时间</t>
  </si>
  <si>
    <t>注册资本（万元）</t>
  </si>
  <si>
    <t>员工数量（户）</t>
  </si>
  <si>
    <t>总种植面积（亩）</t>
  </si>
  <si>
    <r>
      <rPr>
        <sz val="14"/>
        <color rgb="FF0F1115"/>
        <rFont val="Segoe UI"/>
        <charset val="134"/>
      </rPr>
      <t>330</t>
    </r>
    <r>
      <rPr>
        <sz val="14"/>
        <color rgb="FF0F1115"/>
        <rFont val="宋体"/>
        <charset val="134"/>
      </rPr>
      <t>亩</t>
    </r>
  </si>
  <si>
    <t>是否示范社</t>
  </si>
  <si>
    <t>市级</t>
  </si>
  <si>
    <t>荣获资质/曾获荣誉</t>
  </si>
  <si>
    <t>核心优势品类</t>
  </si>
  <si>
    <t>核心品类</t>
  </si>
  <si>
    <t>核心品类名称</t>
  </si>
  <si>
    <t>核心品类上市期</t>
  </si>
  <si>
    <t>核心品类详细介绍（描述具体优势与强势竞争力之处，如口感、规格等）</t>
  </si>
  <si>
    <t>1.</t>
  </si>
  <si>
    <t>青菜</t>
  </si>
  <si>
    <t>一年四季</t>
  </si>
  <si>
    <t>冬天口感比较好</t>
  </si>
  <si>
    <t>2.</t>
  </si>
  <si>
    <t>地瓜叶</t>
  </si>
  <si>
    <t>12月份</t>
  </si>
  <si>
    <t>有保健作用</t>
  </si>
  <si>
    <t>3.</t>
  </si>
  <si>
    <t>4.</t>
  </si>
  <si>
    <t>5.</t>
  </si>
  <si>
    <t>物流方面</t>
  </si>
  <si>
    <t>物流配送范围</t>
  </si>
  <si>
    <t>配送方式（常温/冷链/其他）</t>
  </si>
  <si>
    <t>配送时长（单位：天）</t>
  </si>
  <si>
    <t>配送合作模式（自有物流/第三方快递/其他）</t>
  </si>
  <si>
    <t>上海市</t>
  </si>
  <si>
    <t>常温</t>
  </si>
  <si>
    <t>1天</t>
  </si>
  <si>
    <t>合作社（公司）名称</t>
  </si>
  <si>
    <t>质量体系认证情况</t>
  </si>
  <si>
    <t xml:space="preserve">农资投入台账情况（农药） </t>
  </si>
  <si>
    <t>绿色防控技术应用</t>
  </si>
  <si>
    <t>产品检测方式</t>
  </si>
  <si>
    <t>产品检测次数</t>
  </si>
  <si>
    <t>可提供的合规佐证材料（图片等）</t>
  </si>
  <si>
    <t>产品品类与销售明细</t>
  </si>
  <si>
    <t>品类名称及单价</t>
  </si>
  <si>
    <t>种植面积（亩）</t>
  </si>
  <si>
    <t>年产量（吨）</t>
  </si>
  <si>
    <r>
      <rPr>
        <sz val="22"/>
        <color rgb="FF0F1115"/>
        <rFont val="宋体"/>
        <charset val="134"/>
      </rPr>
      <t>年销量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</si>
  <si>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年销售额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</si>
  <si>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销售
渠道</t>
  </si>
  <si>
    <r>
      <rPr>
        <sz val="22"/>
        <color rgb="FF0F1115"/>
        <rFont val="宋体"/>
        <charset val="134"/>
      </rPr>
      <t>批发市场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</si>
  <si>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电商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</si>
  <si>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商超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</si>
  <si>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团购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</si>
  <si>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田间交易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</si>
  <si>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r>
      <rPr>
        <sz val="22"/>
        <color rgb="FF0F1115"/>
        <rFont val="宋体"/>
        <charset val="134"/>
      </rPr>
      <t>其他渠道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吨</t>
    </r>
    <r>
      <rPr>
        <sz val="22"/>
        <color rgb="FF0F1115"/>
        <rFont val="Segoe UI"/>
        <charset val="134"/>
      </rPr>
      <t>)</t>
    </r>
  </si>
  <si>
    <t>合计</t>
  </si>
  <si>
    <t>成本结构分析（品类：）</t>
  </si>
  <si>
    <t>亩均种植成本明细(元/亩)</t>
  </si>
  <si>
    <t>金额</t>
  </si>
  <si>
    <t>说明</t>
  </si>
  <si>
    <t>合作社特定财务</t>
  </si>
  <si>
    <t>土地租金</t>
  </si>
  <si>
    <t>合作社特定财务指标</t>
  </si>
  <si>
    <r>
      <rPr>
        <sz val="22"/>
        <color rgb="FF0F1115"/>
        <rFont val="宋体"/>
        <charset val="134"/>
      </rPr>
      <t>种苗</t>
    </r>
    <r>
      <rPr>
        <sz val="22"/>
        <color rgb="FF0F1115"/>
        <rFont val="Segoe UI"/>
        <charset val="134"/>
      </rPr>
      <t>/</t>
    </r>
    <r>
      <rPr>
        <sz val="22"/>
        <color rgb="FF0F1115"/>
        <rFont val="宋体"/>
        <charset val="134"/>
      </rPr>
      <t>种子</t>
    </r>
  </si>
  <si>
    <r>
      <rPr>
        <sz val="22"/>
        <color rgb="FF0F1115"/>
        <rFont val="宋体"/>
        <charset val="134"/>
      </rPr>
      <t>社员交易额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</si>
  <si>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肥料</t>
  </si>
  <si>
    <r>
      <rPr>
        <sz val="22"/>
        <color rgb="FF0F1115"/>
        <rFont val="宋体"/>
        <charset val="134"/>
      </rPr>
      <t>总营业收入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</si>
  <si>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农药</t>
  </si>
  <si>
    <t>社员交易额占比(%)</t>
  </si>
  <si>
    <t>人工成本</t>
  </si>
  <si>
    <r>
      <rPr>
        <sz val="22"/>
        <color rgb="FF0F1115"/>
        <rFont val="宋体"/>
        <charset val="134"/>
      </rPr>
      <t>年度可分配盈余总额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</si>
  <si>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水电费</t>
  </si>
  <si>
    <r>
      <rPr>
        <sz val="22"/>
        <color rgb="FF0F1115"/>
        <rFont val="宋体"/>
        <charset val="134"/>
      </rPr>
      <t>股金分红金额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</si>
  <si>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农机作业费</t>
  </si>
  <si>
    <r>
      <rPr>
        <sz val="22"/>
        <color rgb="FF0F1115"/>
        <rFont val="宋体"/>
        <charset val="134"/>
      </rPr>
      <t>分红比例</t>
    </r>
    <r>
      <rPr>
        <sz val="22"/>
        <color rgb="FF0F1115"/>
        <rFont val="Segoe UI"/>
        <charset val="134"/>
      </rPr>
      <t>(%)</t>
    </r>
  </si>
  <si>
    <t>技术指导费</t>
  </si>
  <si>
    <t>其他费用</t>
  </si>
  <si>
    <r>
      <rPr>
        <b/>
        <sz val="22"/>
        <color rgb="FF0F1115"/>
        <rFont val="黑体"/>
        <charset val="134"/>
      </rPr>
      <t>资产负债表</t>
    </r>
    <r>
      <rPr>
        <sz val="22"/>
        <color rgb="FF000000"/>
        <rFont val="Segoe UI"/>
        <charset val="134"/>
      </rPr>
      <t xml:space="preserve">
</t>
    </r>
  </si>
  <si>
    <t>亩均成本合计</t>
  </si>
  <si>
    <t>主要资产构成</t>
  </si>
  <si>
    <r>
      <rPr>
        <sz val="22"/>
        <color rgb="FF000000"/>
        <rFont val="宋体"/>
        <charset val="134"/>
      </rPr>
      <t>占比</t>
    </r>
    <r>
      <rPr>
        <sz val="22"/>
        <color rgb="FF000000"/>
        <rFont val="Segoe UI"/>
        <charset val="134"/>
      </rPr>
      <t>(%)</t>
    </r>
  </si>
  <si>
    <t>采后流通吨均成本</t>
  </si>
  <si>
    <r>
      <rPr>
        <sz val="22"/>
        <color rgb="FF0F1115"/>
        <rFont val="宋体"/>
        <charset val="134"/>
      </rPr>
      <t>元</t>
    </r>
    <r>
      <rPr>
        <sz val="22"/>
        <color rgb="FF0F1115"/>
        <rFont val="Segoe UI"/>
        <charset val="134"/>
      </rPr>
      <t>/</t>
    </r>
    <r>
      <rPr>
        <sz val="22"/>
        <color rgb="FF0F1115"/>
        <rFont val="宋体"/>
        <charset val="134"/>
      </rPr>
      <t>吨</t>
    </r>
  </si>
  <si>
    <t>土地及建筑物</t>
  </si>
  <si>
    <t>包装材料费</t>
  </si>
  <si>
    <r>
      <rPr>
        <sz val="22"/>
        <color rgb="FF000000"/>
        <rFont val="宋体"/>
        <charset val="134"/>
      </rPr>
      <t>农业设施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大棚等</t>
    </r>
    <r>
      <rPr>
        <sz val="22"/>
        <color rgb="FF000000"/>
        <rFont val="Segoe UI"/>
        <charset val="134"/>
      </rPr>
      <t>)</t>
    </r>
  </si>
  <si>
    <t>运输物流费</t>
  </si>
  <si>
    <t>机械设备</t>
  </si>
  <si>
    <t>冷库存储费</t>
  </si>
  <si>
    <r>
      <rPr>
        <sz val="22"/>
        <color rgb="FF000000"/>
        <rFont val="宋体"/>
        <charset val="134"/>
      </rPr>
      <t>存货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农产品</t>
    </r>
    <r>
      <rPr>
        <sz val="22"/>
        <color rgb="FF000000"/>
        <rFont val="Segoe UI"/>
        <charset val="134"/>
      </rPr>
      <t>)</t>
    </r>
  </si>
  <si>
    <t>损耗成本</t>
  </si>
  <si>
    <t>现金及存款</t>
  </si>
  <si>
    <t>主要负债构成</t>
  </si>
  <si>
    <t>盈利分析报表</t>
  </si>
  <si>
    <t>银行贷款</t>
  </si>
  <si>
    <t>渠道盈利分析</t>
  </si>
  <si>
    <r>
      <rPr>
        <sz val="22"/>
        <color rgb="FF000000"/>
        <rFont val="宋体"/>
        <charset val="134"/>
      </rPr>
      <t>销售量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吨</t>
    </r>
    <r>
      <rPr>
        <sz val="22"/>
        <color rgb="FF000000"/>
        <rFont val="Segoe UI"/>
        <charset val="134"/>
      </rPr>
      <t>)</t>
    </r>
  </si>
  <si>
    <r>
      <rPr>
        <sz val="22"/>
        <color rgb="FF000000"/>
        <rFont val="宋体"/>
        <charset val="134"/>
      </rPr>
      <t>销售额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万元</t>
    </r>
    <r>
      <rPr>
        <sz val="22"/>
        <color rgb="FF000000"/>
        <rFont val="Segoe UI"/>
        <charset val="134"/>
      </rPr>
      <t>)</t>
    </r>
  </si>
  <si>
    <r>
      <rPr>
        <sz val="22"/>
        <color rgb="FF000000"/>
        <rFont val="宋体"/>
        <charset val="134"/>
      </rPr>
      <t>成本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万元</t>
    </r>
    <r>
      <rPr>
        <sz val="22"/>
        <color rgb="FF000000"/>
        <rFont val="Segoe UI"/>
        <charset val="134"/>
      </rPr>
      <t>)</t>
    </r>
  </si>
  <si>
    <t>应付账款</t>
  </si>
  <si>
    <t>线上渠道（电商平台等）</t>
  </si>
  <si>
    <t>其他借款</t>
  </si>
  <si>
    <t>线下渠道（商超直供，批发市场，企业团购等）</t>
  </si>
  <si>
    <t>近三年财务概览</t>
  </si>
  <si>
    <r>
      <rPr>
        <sz val="22"/>
        <color rgb="FF000000"/>
        <rFont val="Segoe UI"/>
        <charset val="134"/>
      </rPr>
      <t>2022</t>
    </r>
    <r>
      <rPr>
        <sz val="22"/>
        <color rgb="FF000000"/>
        <rFont val="宋体"/>
        <charset val="134"/>
      </rPr>
      <t>年</t>
    </r>
  </si>
  <si>
    <r>
      <rPr>
        <sz val="22"/>
        <color rgb="FF000000"/>
        <rFont val="Segoe UI"/>
        <charset val="134"/>
      </rPr>
      <t>2023</t>
    </r>
    <r>
      <rPr>
        <sz val="22"/>
        <color rgb="FF000000"/>
        <rFont val="宋体"/>
        <charset val="134"/>
      </rPr>
      <t>年</t>
    </r>
  </si>
  <si>
    <r>
      <rPr>
        <sz val="22"/>
        <color rgb="FF000000"/>
        <rFont val="Segoe UI"/>
        <charset val="134"/>
      </rPr>
      <t>2024</t>
    </r>
    <r>
      <rPr>
        <sz val="22"/>
        <color rgb="FF000000"/>
        <rFont val="宋体"/>
        <charset val="134"/>
      </rPr>
      <t>年</t>
    </r>
  </si>
  <si>
    <t>政策资金情况</t>
  </si>
  <si>
    <r>
      <rPr>
        <sz val="22"/>
        <color rgb="FF000000"/>
        <rFont val="宋体"/>
        <charset val="134"/>
      </rPr>
      <t>销售收入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万元</t>
    </r>
    <r>
      <rPr>
        <sz val="22"/>
        <color rgb="FF000000"/>
        <rFont val="Segoe UI"/>
        <charset val="134"/>
      </rPr>
      <t>)</t>
    </r>
  </si>
  <si>
    <t>年度</t>
  </si>
  <si>
    <t>补贴类型</t>
  </si>
  <si>
    <r>
      <rPr>
        <sz val="22"/>
        <color rgb="FF0F1115"/>
        <rFont val="宋体"/>
        <charset val="134"/>
      </rPr>
      <t>金额</t>
    </r>
    <r>
      <rPr>
        <sz val="22"/>
        <color rgb="FF0F1115"/>
        <rFont val="Segoe UI"/>
        <charset val="134"/>
      </rPr>
      <t>(</t>
    </r>
    <r>
      <rPr>
        <sz val="22"/>
        <color rgb="FF0F1115"/>
        <rFont val="宋体"/>
        <charset val="134"/>
      </rPr>
      <t>万元</t>
    </r>
    <r>
      <rPr>
        <sz val="22"/>
        <color rgb="FF0F1115"/>
        <rFont val="Segoe UI"/>
        <charset val="134"/>
      </rPr>
      <t>)</t>
    </r>
  </si>
  <si>
    <t>具体用途</t>
  </si>
  <si>
    <r>
      <rPr>
        <sz val="22"/>
        <color rgb="FF000000"/>
        <rFont val="宋体"/>
        <charset val="134"/>
      </rPr>
      <t>净利润</t>
    </r>
    <r>
      <rPr>
        <sz val="22"/>
        <color rgb="FF000000"/>
        <rFont val="Segoe UI"/>
        <charset val="134"/>
      </rPr>
      <t>(</t>
    </r>
    <r>
      <rPr>
        <sz val="22"/>
        <color rgb="FF000000"/>
        <rFont val="宋体"/>
        <charset val="134"/>
      </rPr>
      <t>万元</t>
    </r>
    <r>
      <rPr>
        <sz val="22"/>
        <color rgb="FF000000"/>
        <rFont val="Segoe UI"/>
        <charset val="134"/>
      </rPr>
      <t>)</t>
    </r>
  </si>
  <si>
    <r>
      <rPr>
        <sz val="22"/>
        <color rgb="FF000000"/>
        <rFont val="宋体"/>
        <charset val="134"/>
      </rPr>
      <t>销售利润率</t>
    </r>
    <r>
      <rPr>
        <sz val="22"/>
        <color rgb="FF000000"/>
        <rFont val="Segoe UI"/>
        <charset val="134"/>
      </rPr>
      <t>(%)</t>
    </r>
  </si>
  <si>
    <r>
      <rPr>
        <sz val="22"/>
        <color rgb="FF0F1115"/>
        <rFont val="Segoe UI"/>
        <charset val="134"/>
      </rPr>
      <t>2023</t>
    </r>
    <r>
      <rPr>
        <sz val="22"/>
        <color rgb="FF0F1115"/>
        <rFont val="宋体"/>
        <charset val="134"/>
      </rPr>
      <t>年</t>
    </r>
  </si>
  <si>
    <r>
      <rPr>
        <sz val="22"/>
        <color rgb="FF0F1115"/>
        <rFont val="Segoe UI"/>
        <charset val="134"/>
      </rPr>
      <t>2024</t>
    </r>
    <r>
      <rPr>
        <sz val="22"/>
        <color rgb="FF0F1115"/>
        <rFont val="宋体"/>
        <charset val="134"/>
      </rPr>
      <t>年</t>
    </r>
  </si>
  <si>
    <t>2025年</t>
  </si>
  <si>
    <t>税收减免金额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</si>
</sst>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22"/>
      <color theme="1"/>
      <name val="宋体"/>
      <charset val="134"/>
    </font>
    <font>
      <b/>
      <sz val="22"/>
      <color rgb="FF0F1115"/>
      <name val="黑体"/>
      <charset val="134"/>
    </font>
    <font>
      <sz val="22"/>
      <color rgb="FF0F1115"/>
      <name val="Segoe UI"/>
      <charset val="134"/>
    </font>
    <font>
      <sz val="22"/>
      <color rgb="FF0F1115"/>
      <name val="宋体"/>
      <charset val="134"/>
    </font>
    <font>
      <sz val="22"/>
      <color rgb="FF000000"/>
      <name val="宋体"/>
      <charset val="134"/>
    </font>
    <font>
      <sz val="22"/>
      <color rgb="FF000000"/>
      <name val="Segoe UI"/>
      <charset val="134"/>
    </font>
    <font>
      <b/>
      <sz val="22"/>
      <color rgb="FF000000"/>
      <name val="黑体"/>
      <charset val="134"/>
    </font>
    <font>
      <b/>
      <sz val="22"/>
      <color rgb="FF0F1115"/>
      <name val="Segoe UI"/>
      <charset val="134"/>
    </font>
    <font>
      <sz val="11"/>
      <color theme="1"/>
      <name val="黑体"/>
      <charset val="134"/>
    </font>
    <font>
      <b/>
      <sz val="12"/>
      <color theme="1"/>
      <name val="宋体"/>
      <charset val="134"/>
    </font>
    <font>
      <sz val="14"/>
      <color theme="1"/>
      <name val="宋体"/>
      <charset val="134"/>
    </font>
    <font>
      <sz val="14"/>
      <color rgb="FF0F1115"/>
      <name val="宋体"/>
      <charset val="134"/>
    </font>
    <font>
      <sz val="14"/>
      <color rgb="FF0F1115"/>
      <name val="Segoe UI"/>
      <charset val="134"/>
    </font>
    <font>
      <sz val="14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CAD36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4B3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24" fillId="12" borderId="17" applyNumberFormat="0" applyAlignment="0" applyProtection="0">
      <alignment vertical="center"/>
    </xf>
    <xf numFmtId="0" fontId="25" fillId="12" borderId="16" applyNumberFormat="0" applyAlignment="0" applyProtection="0">
      <alignment vertical="center"/>
    </xf>
    <xf numFmtId="0" fontId="26" fillId="13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9" fontId="3" fillId="3" borderId="6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/>
    </xf>
    <xf numFmtId="0" fontId="9" fillId="0" borderId="0" xfId="0" applyFont="1">
      <alignment vertical="center"/>
    </xf>
    <xf numFmtId="0" fontId="10" fillId="7" borderId="6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2" fillId="9" borderId="6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center" vertical="center"/>
    </xf>
    <xf numFmtId="0" fontId="12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horizontal="left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49" fontId="1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N22"/>
  <sheetViews>
    <sheetView tabSelected="1" workbookViewId="0">
      <selection activeCell="B2" sqref="B2"/>
    </sheetView>
  </sheetViews>
  <sheetFormatPr defaultColWidth="8.89166666666667" defaultRowHeight="17.5"/>
  <cols>
    <col min="1" max="1" width="29.8916666666667" style="38" customWidth="1"/>
    <col min="2" max="2" width="35.3333333333333" style="38" customWidth="1"/>
    <col min="3" max="3" width="26.4416666666667" style="38" customWidth="1"/>
    <col min="4" max="4" width="89.775" style="38" customWidth="1"/>
    <col min="5" max="5" width="35.5583333333333" style="38" customWidth="1"/>
    <col min="6" max="6" width="14.1083333333333" style="38" customWidth="1"/>
    <col min="7" max="7" width="9.66666666666667" style="38" customWidth="1"/>
    <col min="8" max="9" width="16.4416666666667" style="38" customWidth="1"/>
    <col min="10" max="13" width="14.1083333333333" style="38" customWidth="1"/>
    <col min="14" max="14" width="9.66666666666667" style="38" customWidth="1"/>
    <col min="15" max="16384" width="8.89166666666667" style="38"/>
  </cols>
  <sheetData>
    <row r="1" s="38" customFormat="1" spans="1:14">
      <c r="A1" s="39" t="s">
        <v>0</v>
      </c>
      <c r="B1" s="39" t="s">
        <v>1</v>
      </c>
      <c r="C1" s="40"/>
      <c r="G1" s="40"/>
      <c r="I1" s="40"/>
      <c r="J1" s="40"/>
      <c r="K1" s="40"/>
      <c r="L1" s="40"/>
      <c r="N1" s="40"/>
    </row>
    <row r="2" s="38" customFormat="1" spans="1:14">
      <c r="A2" s="41" t="s">
        <v>2</v>
      </c>
      <c r="B2" s="42" t="s">
        <v>3</v>
      </c>
    </row>
    <row r="3" s="38" customFormat="1" ht="21" spans="1:14">
      <c r="A3" s="41" t="s">
        <v>4</v>
      </c>
      <c r="B3" s="42"/>
    </row>
    <row r="4" s="38" customFormat="1" ht="21" spans="1:14">
      <c r="A4" s="41" t="s">
        <v>5</v>
      </c>
      <c r="B4" s="42"/>
    </row>
    <row r="5" s="38" customFormat="1" ht="21" spans="1:14">
      <c r="A5" s="41" t="s">
        <v>6</v>
      </c>
      <c r="B5" s="42"/>
    </row>
    <row r="6" s="38" customFormat="1" ht="21" spans="1:14">
      <c r="A6" s="41" t="s">
        <v>7</v>
      </c>
      <c r="B6" s="42"/>
    </row>
    <row r="7" s="38" customFormat="1" spans="1:14">
      <c r="A7" s="41" t="s">
        <v>8</v>
      </c>
      <c r="B7" s="41"/>
    </row>
    <row r="8" s="38" customFormat="1" ht="21" spans="1:14">
      <c r="A8" s="41" t="s">
        <v>9</v>
      </c>
      <c r="B8" s="42" t="s">
        <v>10</v>
      </c>
    </row>
    <row r="9" s="38" customFormat="1" spans="1:14">
      <c r="A9" s="41" t="s">
        <v>11</v>
      </c>
      <c r="B9" s="41" t="s">
        <v>12</v>
      </c>
    </row>
    <row r="10" s="38" customFormat="1" spans="1:14">
      <c r="A10" s="43" t="s">
        <v>13</v>
      </c>
      <c r="B10" s="43"/>
    </row>
    <row r="12" s="38" customFormat="1" spans="1:14">
      <c r="A12" s="44" t="s">
        <v>14</v>
      </c>
      <c r="B12" s="45"/>
      <c r="C12" s="45"/>
      <c r="D12" s="46"/>
    </row>
    <row r="13" s="38" customFormat="1" spans="1:14">
      <c r="A13" s="47" t="s">
        <v>15</v>
      </c>
      <c r="B13" s="47" t="s">
        <v>16</v>
      </c>
      <c r="C13" s="47" t="s">
        <v>17</v>
      </c>
      <c r="D13" s="47" t="s">
        <v>18</v>
      </c>
    </row>
    <row r="14" s="38" customFormat="1" spans="1:14">
      <c r="A14" s="48" t="s">
        <v>19</v>
      </c>
      <c r="B14" s="38" t="s">
        <v>20</v>
      </c>
      <c r="C14" s="38" t="s">
        <v>21</v>
      </c>
      <c r="D14" s="38" t="s">
        <v>22</v>
      </c>
    </row>
    <row r="15" s="38" customFormat="1" spans="1:14">
      <c r="A15" s="48" t="s">
        <v>23</v>
      </c>
      <c r="B15" s="38" t="s">
        <v>24</v>
      </c>
      <c r="C15" s="38" t="s">
        <v>25</v>
      </c>
      <c r="D15" s="38" t="s">
        <v>26</v>
      </c>
    </row>
    <row r="16" s="38" customFormat="1" spans="1:14">
      <c r="A16" s="48" t="s">
        <v>27</v>
      </c>
    </row>
    <row r="17" s="38" customFormat="1" spans="1:4">
      <c r="A17" s="48" t="s">
        <v>28</v>
      </c>
    </row>
    <row r="18" s="38" customFormat="1" spans="1:4">
      <c r="A18" s="48" t="s">
        <v>29</v>
      </c>
    </row>
    <row r="20" s="38" customFormat="1" spans="1:4">
      <c r="A20" s="44" t="s">
        <v>30</v>
      </c>
      <c r="B20" s="45"/>
      <c r="C20" s="45"/>
      <c r="D20" s="46"/>
    </row>
    <row r="21" s="38" customFormat="1" spans="1:4">
      <c r="A21" s="47" t="s">
        <v>31</v>
      </c>
      <c r="B21" s="47" t="s">
        <v>32</v>
      </c>
      <c r="C21" s="47" t="s">
        <v>33</v>
      </c>
      <c r="D21" s="47" t="s">
        <v>34</v>
      </c>
    </row>
    <row r="22" spans="1:4">
      <c r="A22" s="38" t="s">
        <v>35</v>
      </c>
      <c r="B22" s="38" t="s">
        <v>36</v>
      </c>
      <c r="C22" s="38" t="s">
        <v>37</v>
      </c>
    </row>
  </sheetData>
  <mergeCells count="2">
    <mergeCell ref="A12:D12"/>
    <mergeCell ref="A20:D20"/>
  </mergeCells>
  <dataValidations count="1">
    <dataValidation type="list" allowBlank="1" showInputMessage="1" showErrorMessage="1" sqref="B9">
      <formula1>"国家级,市级,区级,否"</formula1>
    </dataValidation>
  </dataValidations>
  <pageMargins left="0.75" right="0.75" top="1" bottom="1" header="0.5" footer="0.5"/>
  <pageSetup paperSize="9" scale="7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G8"/>
  <sheetViews>
    <sheetView workbookViewId="0">
      <selection activeCell="E10" sqref="E10"/>
    </sheetView>
  </sheetViews>
  <sheetFormatPr defaultColWidth="9" defaultRowHeight="14" outlineLevelRow="7" outlineLevelCol="6"/>
  <cols>
    <col min="1" max="1" width="31.5" customWidth="1"/>
    <col min="2" max="2" width="20.9083333333333" customWidth="1"/>
    <col min="3" max="3" width="29.8833333333333" customWidth="1"/>
    <col min="4" max="4" width="21.4416666666667" customWidth="1"/>
    <col min="5" max="5" width="15.9333333333333" customWidth="1"/>
    <col min="6" max="6" width="15.525" customWidth="1"/>
    <col min="7" max="7" width="35.5083333333333" customWidth="1"/>
  </cols>
  <sheetData>
    <row r="1" ht="35" customHeight="1" spans="1:7">
      <c r="A1" s="36" t="s">
        <v>38</v>
      </c>
      <c r="B1" s="37" t="s">
        <v>39</v>
      </c>
      <c r="C1" s="37" t="s">
        <v>40</v>
      </c>
      <c r="D1" s="37" t="s">
        <v>41</v>
      </c>
      <c r="E1" s="37" t="s">
        <v>42</v>
      </c>
      <c r="F1" s="37" t="s">
        <v>43</v>
      </c>
      <c r="G1" s="37" t="s">
        <v>44</v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</sheetData>
  <dataValidations count="6">
    <dataValidation type="list" allowBlank="1" showInputMessage="1" showErrorMessage="1" sqref="B2">
      <formula1>"无,绿色食品,有机产品,地理标志产品,名特优新,多项认证（需在备注栏列明）"</formula1>
    </dataValidation>
    <dataValidation type="list" allowBlank="1" showInputMessage="1" showErrorMessage="1" sqref="C2">
      <formula1>"已建立（完整记录农药、化肥采购-使用-库存）,已建立（部分记录）,未建立"</formula1>
    </dataValidation>
    <dataValidation type="list" allowBlank="1" showInputMessage="1" showErrorMessage="1" sqref="D2">
      <formula1>"无,物理防治（粘虫板/杀虫灯等）,生物防治（生物农药/天敌昆虫/性诱剂）,生态调控,综合防控（多种方式结合）"</formula1>
    </dataValidation>
    <dataValidation type="list" allowBlank="1" showInputMessage="1" showErrorMessage="1" sqref="E2">
      <formula1>"无检测,自行快速检测,委托第三方定量检测,监管部门例行监测,监督部门监督抽查,多种检测结合"</formula1>
    </dataValidation>
    <dataValidation type="list" allowBlank="1" showInputMessage="1" showErrorMessage="1" sqref="F2">
      <formula1>"全部合格,个别批次轻微超标（已整改）,存在超标记录（未整改）,无检测记录"</formula1>
    </dataValidation>
    <dataValidation type="list" allowBlank="1" showInputMessage="1" showErrorMessage="1" sqref="B6">
      <formula1>"无,每月1次,每季度1次,每半年1次,采收前必检,年度2-3次,其他（备注栏说明）"</formula1>
    </dataValidation>
  </dataValidations>
  <pageMargins left="0.7" right="0.7" top="0.75" bottom="0.75" header="0.3" footer="0.3"/>
  <pageSetup paperSize="9" scale="7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L38"/>
  <sheetViews>
    <sheetView zoomScale="55" zoomScaleNormal="55" topLeftCell="A2" workbookViewId="0">
      <selection activeCell="T5" sqref="T4:T5"/>
    </sheetView>
  </sheetViews>
  <sheetFormatPr defaultColWidth="8.89166666666667" defaultRowHeight="27.5"/>
  <cols>
    <col min="1" max="1" width="30.6666666666667" style="1" customWidth="1"/>
    <col min="2" max="2" width="35.8916666666667" style="1" customWidth="1"/>
    <col min="3" max="3" width="17.3333333333333" style="1" customWidth="1"/>
    <col min="4" max="4" width="13.225" style="1" customWidth="1"/>
    <col min="5" max="5" width="27.775" style="1" customWidth="1"/>
    <col min="6" max="6" width="5.775" style="1" customWidth="1"/>
    <col min="7" max="7" width="45.1083333333333" style="1" customWidth="1"/>
    <col min="8" max="8" width="20.3333333333333" style="1" customWidth="1"/>
    <col min="9" max="9" width="27.775" style="1" customWidth="1"/>
    <col min="10" max="10" width="15" style="1" customWidth="1"/>
    <col min="11" max="11" width="12.325" style="1" customWidth="1"/>
    <col min="12" max="12" width="15.8916666666667" style="1" customWidth="1"/>
    <col min="13" max="16384" width="8.89166666666667" style="1"/>
  </cols>
  <sheetData>
    <row r="1" s="1" customFormat="1" ht="29" spans="1:12">
      <c r="A1" s="2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="1" customFormat="1" ht="60.75" spans="1:12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6" t="s">
        <v>51</v>
      </c>
      <c r="G2" s="5" t="s">
        <v>52</v>
      </c>
      <c r="H2" s="5" t="s">
        <v>53</v>
      </c>
      <c r="I2" s="5" t="s">
        <v>54</v>
      </c>
      <c r="J2" s="5" t="s">
        <v>55</v>
      </c>
      <c r="K2" s="5" t="s">
        <v>56</v>
      </c>
      <c r="L2" s="5" t="s">
        <v>57</v>
      </c>
    </row>
    <row r="3" s="1" customFormat="1" ht="32.5" spans="1:12">
      <c r="A3" s="7">
        <v>1</v>
      </c>
      <c r="B3" s="8"/>
      <c r="C3" s="8"/>
      <c r="D3" s="8"/>
      <c r="E3" s="8"/>
      <c r="F3" s="9"/>
      <c r="G3" s="8"/>
      <c r="H3" s="8"/>
      <c r="I3" s="8"/>
      <c r="J3" s="8"/>
      <c r="K3" s="8"/>
      <c r="L3" s="8"/>
    </row>
    <row r="4" s="1" customFormat="1" ht="32.5" spans="1:12">
      <c r="A4" s="7">
        <v>2</v>
      </c>
      <c r="B4" s="8"/>
      <c r="C4" s="8"/>
      <c r="D4" s="8"/>
      <c r="E4" s="8"/>
      <c r="F4" s="9"/>
      <c r="G4" s="8"/>
      <c r="H4" s="8"/>
      <c r="I4" s="8"/>
      <c r="J4" s="8"/>
      <c r="K4" s="8"/>
      <c r="L4" s="8"/>
    </row>
    <row r="5" s="1" customFormat="1" ht="32.5" spans="1:12">
      <c r="A5" s="7">
        <v>3</v>
      </c>
      <c r="B5" s="8"/>
      <c r="C5" s="8"/>
      <c r="D5" s="8"/>
      <c r="E5" s="8"/>
      <c r="F5" s="9"/>
      <c r="G5" s="8"/>
      <c r="H5" s="8"/>
      <c r="I5" s="8"/>
      <c r="J5" s="8"/>
      <c r="K5" s="8"/>
      <c r="L5" s="8"/>
    </row>
    <row r="6" s="1" customFormat="1" ht="32.5" spans="1:12">
      <c r="A6" s="7">
        <v>4</v>
      </c>
      <c r="B6" s="8"/>
      <c r="C6" s="8"/>
      <c r="D6" s="8"/>
      <c r="E6" s="8"/>
      <c r="F6" s="9"/>
      <c r="G6" s="8"/>
      <c r="H6" s="8"/>
      <c r="I6" s="8"/>
      <c r="J6" s="8"/>
      <c r="K6" s="8"/>
      <c r="L6" s="8"/>
    </row>
    <row r="7" s="1" customFormat="1" ht="32.5" spans="1:12">
      <c r="A7" s="10" t="s">
        <v>58</v>
      </c>
      <c r="B7" s="8"/>
      <c r="C7" s="8">
        <f t="shared" ref="C7:L7" si="0">SUM(C3:C6)</f>
        <v>0</v>
      </c>
      <c r="D7" s="8">
        <f t="shared" si="0"/>
        <v>0</v>
      </c>
      <c r="E7" s="8">
        <f>SUM(E1:E3)</f>
        <v>0</v>
      </c>
      <c r="F7" s="11"/>
      <c r="G7" s="8">
        <f t="shared" si="0"/>
        <v>0</v>
      </c>
      <c r="H7" s="8">
        <f t="shared" si="0"/>
        <v>0</v>
      </c>
      <c r="I7" s="8">
        <f t="shared" si="0"/>
        <v>0</v>
      </c>
      <c r="J7" s="8">
        <f t="shared" si="0"/>
        <v>0</v>
      </c>
      <c r="K7" s="8">
        <f t="shared" si="0"/>
        <v>0</v>
      </c>
      <c r="L7" s="8">
        <f t="shared" si="0"/>
        <v>0</v>
      </c>
    </row>
    <row r="8" s="1" customFormat="1" ht="28.25"/>
    <row r="9" s="1" customFormat="1" ht="29" spans="1:12">
      <c r="A9" s="12" t="s">
        <v>59</v>
      </c>
      <c r="B9" s="13"/>
      <c r="C9" s="13"/>
    </row>
    <row r="10" s="1" customFormat="1" ht="56.5" spans="1:12">
      <c r="A10" s="14" t="s">
        <v>60</v>
      </c>
      <c r="B10" s="10" t="s">
        <v>61</v>
      </c>
      <c r="C10" s="10" t="s">
        <v>62</v>
      </c>
      <c r="G10" s="15" t="s">
        <v>63</v>
      </c>
      <c r="H10" s="16"/>
    </row>
    <row r="11" s="1" customFormat="1" ht="33.25" spans="1:12">
      <c r="A11" s="10" t="s">
        <v>64</v>
      </c>
      <c r="B11" s="8"/>
      <c r="C11" s="8"/>
      <c r="G11" s="14" t="s">
        <v>65</v>
      </c>
      <c r="H11" s="17" t="s">
        <v>61</v>
      </c>
    </row>
    <row r="12" s="1" customFormat="1" ht="32.5" spans="1:12">
      <c r="A12" s="10" t="s">
        <v>66</v>
      </c>
      <c r="B12" s="8"/>
      <c r="C12" s="8"/>
      <c r="G12" s="10" t="s">
        <v>67</v>
      </c>
      <c r="H12" s="8"/>
    </row>
    <row r="13" s="1" customFormat="1" ht="32.5" spans="1:12">
      <c r="A13" s="10" t="s">
        <v>68</v>
      </c>
      <c r="B13" s="8"/>
      <c r="C13" s="8"/>
      <c r="G13" s="10" t="s">
        <v>69</v>
      </c>
      <c r="H13" s="8"/>
    </row>
    <row r="14" s="1" customFormat="1" ht="32.5" spans="1:12">
      <c r="A14" s="10" t="s">
        <v>70</v>
      </c>
      <c r="B14" s="8"/>
      <c r="C14" s="8"/>
      <c r="G14" s="14" t="s">
        <v>71</v>
      </c>
      <c r="H14" s="8" t="e">
        <f>H12/H13*100</f>
        <v>#DIV/0!</v>
      </c>
    </row>
    <row r="15" s="1" customFormat="1" ht="32.5" spans="1:12">
      <c r="A15" s="10" t="s">
        <v>72</v>
      </c>
      <c r="B15" s="8"/>
      <c r="C15" s="8"/>
      <c r="G15" s="10" t="s">
        <v>73</v>
      </c>
      <c r="H15" s="8"/>
    </row>
    <row r="16" s="1" customFormat="1" ht="32.5" spans="1:12">
      <c r="A16" s="10" t="s">
        <v>74</v>
      </c>
      <c r="B16" s="8"/>
      <c r="C16" s="8"/>
      <c r="G16" s="10" t="s">
        <v>75</v>
      </c>
      <c r="H16" s="8">
        <f>H15*0.4</f>
        <v>0</v>
      </c>
    </row>
    <row r="17" s="1" customFormat="1" ht="32.5" spans="1:10">
      <c r="A17" s="10" t="s">
        <v>76</v>
      </c>
      <c r="B17" s="8"/>
      <c r="C17" s="8"/>
      <c r="G17" s="10" t="s">
        <v>77</v>
      </c>
      <c r="H17" s="18">
        <v>0.4</v>
      </c>
    </row>
    <row r="18" s="1" customFormat="1" ht="33.25" spans="1:10">
      <c r="A18" s="10" t="s">
        <v>78</v>
      </c>
      <c r="B18" s="8"/>
      <c r="C18" s="8"/>
    </row>
    <row r="19" s="1" customFormat="1" ht="34" spans="1:10">
      <c r="A19" s="10" t="s">
        <v>79</v>
      </c>
      <c r="B19" s="8"/>
      <c r="C19" s="8"/>
      <c r="G19" s="19" t="s">
        <v>80</v>
      </c>
      <c r="H19" s="20"/>
    </row>
    <row r="20" s="1" customFormat="1" ht="33.25" spans="1:10">
      <c r="A20" s="14" t="s">
        <v>81</v>
      </c>
      <c r="B20" s="8">
        <f>SUM(B11:B19)</f>
        <v>0</v>
      </c>
      <c r="C20" s="8"/>
      <c r="G20" s="14" t="s">
        <v>82</v>
      </c>
      <c r="H20" s="21" t="s">
        <v>83</v>
      </c>
    </row>
    <row r="21" s="1" customFormat="1" ht="32.5" spans="1:10">
      <c r="A21" s="10" t="s">
        <v>84</v>
      </c>
      <c r="B21" s="10" t="s">
        <v>85</v>
      </c>
      <c r="C21" s="8"/>
      <c r="G21" s="21" t="s">
        <v>86</v>
      </c>
      <c r="H21" s="22"/>
    </row>
    <row r="22" s="1" customFormat="1" ht="32.5" spans="1:10">
      <c r="A22" s="10" t="s">
        <v>87</v>
      </c>
      <c r="B22" s="10" t="s">
        <v>85</v>
      </c>
      <c r="C22" s="8"/>
      <c r="G22" s="21" t="s">
        <v>88</v>
      </c>
      <c r="H22" s="22"/>
    </row>
    <row r="23" s="1" customFormat="1" ht="32.5" spans="1:10">
      <c r="A23" s="10" t="s">
        <v>89</v>
      </c>
      <c r="B23" s="10" t="s">
        <v>85</v>
      </c>
      <c r="C23" s="8"/>
      <c r="G23" s="21" t="s">
        <v>90</v>
      </c>
      <c r="H23" s="22"/>
    </row>
    <row r="24" s="1" customFormat="1" ht="32.5" spans="1:10">
      <c r="A24" s="10" t="s">
        <v>91</v>
      </c>
      <c r="B24" s="10" t="s">
        <v>85</v>
      </c>
      <c r="C24" s="8"/>
      <c r="G24" s="21" t="s">
        <v>92</v>
      </c>
      <c r="H24" s="22"/>
    </row>
    <row r="25" s="1" customFormat="1" ht="32.5" spans="1:10">
      <c r="A25" s="10" t="s">
        <v>93</v>
      </c>
      <c r="B25" s="10" t="s">
        <v>85</v>
      </c>
      <c r="C25" s="23"/>
      <c r="G25" s="21" t="s">
        <v>94</v>
      </c>
      <c r="H25" s="22"/>
    </row>
    <row r="26" s="1" customFormat="1" ht="33.25" spans="1:10">
      <c r="G26" s="14" t="s">
        <v>95</v>
      </c>
      <c r="H26" s="21" t="s">
        <v>83</v>
      </c>
    </row>
    <row r="27" s="1" customFormat="1" ht="34" spans="1:10">
      <c r="A27" s="24" t="s">
        <v>96</v>
      </c>
      <c r="B27" s="25"/>
      <c r="C27" s="25"/>
      <c r="D27" s="25"/>
      <c r="G27" s="21" t="s">
        <v>97</v>
      </c>
      <c r="H27" s="22"/>
    </row>
    <row r="28" s="1" customFormat="1" ht="65.75" spans="1:10">
      <c r="A28" s="26" t="s">
        <v>98</v>
      </c>
      <c r="B28" s="21" t="s">
        <v>99</v>
      </c>
      <c r="C28" s="21" t="s">
        <v>100</v>
      </c>
      <c r="D28" s="21" t="s">
        <v>101</v>
      </c>
      <c r="G28" s="21" t="s">
        <v>102</v>
      </c>
      <c r="H28" s="22"/>
    </row>
    <row r="29" s="1" customFormat="1" ht="32.5" spans="1:10">
      <c r="A29" s="1" t="s">
        <v>103</v>
      </c>
      <c r="C29" s="22"/>
      <c r="D29" s="22"/>
      <c r="G29" s="27" t="s">
        <v>104</v>
      </c>
      <c r="H29" s="28"/>
    </row>
    <row r="30" s="1" customFormat="1" ht="32.5" spans="1:10">
      <c r="A30" s="1" t="s">
        <v>105</v>
      </c>
      <c r="B30" s="22"/>
      <c r="C30" s="22"/>
      <c r="D30" s="22"/>
      <c r="G30" s="29"/>
      <c r="H30" s="29"/>
    </row>
    <row r="31" s="1" customFormat="1" ht="32.5" spans="1:10">
      <c r="A31" s="26" t="s">
        <v>58</v>
      </c>
      <c r="B31" s="22">
        <f>SUM(B28:B30)</f>
        <v>0</v>
      </c>
      <c r="C31" s="22">
        <f>SUM(C28:C30)</f>
        <v>0</v>
      </c>
      <c r="D31" s="22">
        <f>SUM(D28:D30)</f>
        <v>0</v>
      </c>
      <c r="G31" s="30"/>
      <c r="H31" s="29"/>
    </row>
    <row r="32" s="1" customFormat="1" ht="33.25" spans="1:10">
      <c r="A32" s="31" t="s">
        <v>106</v>
      </c>
      <c r="B32" s="32" t="s">
        <v>107</v>
      </c>
      <c r="C32" s="32" t="s">
        <v>108</v>
      </c>
      <c r="D32" s="32" t="s">
        <v>109</v>
      </c>
      <c r="G32" s="33" t="s">
        <v>110</v>
      </c>
      <c r="H32" s="34"/>
      <c r="I32" s="34"/>
      <c r="J32" s="34"/>
    </row>
    <row r="33" s="1" customFormat="1" ht="55.75" spans="1:10">
      <c r="A33" s="21" t="s">
        <v>111</v>
      </c>
      <c r="B33" s="22"/>
      <c r="C33" s="22"/>
      <c r="D33" s="22"/>
      <c r="G33" s="14" t="s">
        <v>112</v>
      </c>
      <c r="H33" s="10" t="s">
        <v>113</v>
      </c>
      <c r="I33" s="10" t="s">
        <v>114</v>
      </c>
      <c r="J33" s="10" t="s">
        <v>115</v>
      </c>
    </row>
    <row r="34" s="1" customFormat="1" ht="32.5" spans="1:10">
      <c r="A34" s="21" t="s">
        <v>116</v>
      </c>
      <c r="B34" s="22"/>
      <c r="C34" s="22"/>
      <c r="D34" s="22"/>
      <c r="G34" s="8">
        <v>2023</v>
      </c>
      <c r="H34" s="8"/>
      <c r="I34" s="8"/>
      <c r="J34" s="8"/>
    </row>
    <row r="35" s="1" customFormat="1" ht="32.5" spans="1:10">
      <c r="A35" s="21" t="s">
        <v>117</v>
      </c>
      <c r="B35" s="22"/>
      <c r="C35" s="22"/>
      <c r="D35" s="22"/>
      <c r="G35" s="8">
        <v>2024</v>
      </c>
      <c r="H35" s="8"/>
      <c r="I35" s="8"/>
      <c r="J35" s="8"/>
    </row>
    <row r="36" s="1" customFormat="1" ht="32.5" spans="1:10">
      <c r="G36" s="8">
        <v>2025</v>
      </c>
      <c r="H36" s="8"/>
      <c r="I36" s="8"/>
      <c r="J36" s="8"/>
    </row>
    <row r="37" s="1" customFormat="1" ht="32.5" spans="1:10">
      <c r="G37" s="14"/>
      <c r="H37" s="8" t="s">
        <v>118</v>
      </c>
      <c r="I37" s="8" t="s">
        <v>119</v>
      </c>
      <c r="J37" s="35" t="s">
        <v>120</v>
      </c>
    </row>
    <row r="38" s="1" customFormat="1" ht="32.5" spans="1:10">
      <c r="G38" s="14" t="s">
        <v>121</v>
      </c>
      <c r="H38" s="8"/>
      <c r="I38" s="8"/>
      <c r="J38" s="8"/>
    </row>
  </sheetData>
  <mergeCells count="7">
    <mergeCell ref="A1:L1"/>
    <mergeCell ref="A9:C9"/>
    <mergeCell ref="G10:H10"/>
    <mergeCell ref="G19:H19"/>
    <mergeCell ref="A27:D27"/>
    <mergeCell ref="G32:J32"/>
    <mergeCell ref="F2:F7"/>
  </mergeCells>
  <pageMargins left="0.75" right="0.75" top="1" bottom="1" header="0.5" footer="0.5"/>
  <pageSetup paperSize="9" scale="3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基础经营信息</vt:lpstr>
      <vt:lpstr>质量合规</vt:lpstr>
      <vt:lpstr>财务数据表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shining</dc:creator>
  <cp:lastModifiedBy>刘玥萌</cp:lastModifiedBy>
  <dcterms:created xsi:type="dcterms:W3CDTF">2026-01-15T11:33:00Z</dcterms:created>
  <dcterms:modified xsi:type="dcterms:W3CDTF">2026-02-08T13:11:18Z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23B52151548248C0A0F38EA3BC5FE8D5_13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